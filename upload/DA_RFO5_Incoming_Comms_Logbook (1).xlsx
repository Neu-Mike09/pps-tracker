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ing Communications" sheetId="1" r:id="rId5"/>
    <sheet state="visible" name="Summary Dashboard" sheetId="2" r:id="rId6"/>
    <sheet state="visible" name="Reference Lists" sheetId="3" r:id="rId7"/>
    <sheet state="visible" name="Instructions" sheetId="4" r:id="rId8"/>
  </sheets>
  <definedNames/>
  <calcPr/>
</workbook>
</file>

<file path=xl/sharedStrings.xml><?xml version="1.0" encoding="utf-8"?>
<sst xmlns="http://schemas.openxmlformats.org/spreadsheetml/2006/main" count="99" uniqueCount="93">
  <si>
    <t>DEPARTMENT OF AGRICULTURE – REGIONAL FIELD OFFICE NO. 5</t>
  </si>
  <si>
    <t>Planning, Monitoring and Evaluation Division – Planning and Programming Section</t>
  </si>
  <si>
    <t>INCOMING COMMUNICATIONS</t>
  </si>
  <si>
    <t>Control No.</t>
  </si>
  <si>
    <t>Date Received</t>
  </si>
  <si>
    <t>Date of Document</t>
  </si>
  <si>
    <t>Document Type</t>
  </si>
  <si>
    <t>From (Office/Person)</t>
  </si>
  <si>
    <t>Subject / Title</t>
  </si>
  <si>
    <t>Reference No.</t>
  </si>
  <si>
    <t>Assigned To</t>
  </si>
  <si>
    <t>Target Date</t>
  </si>
  <si>
    <t>Date Completed</t>
  </si>
  <si>
    <t>Status</t>
  </si>
  <si>
    <t>Activity Category</t>
  </si>
  <si>
    <t>Remarks / Action Taken</t>
  </si>
  <si>
    <t>Year</t>
  </si>
  <si>
    <t>Memorandum</t>
  </si>
  <si>
    <t>RDC</t>
  </si>
  <si>
    <t>RDC Meeting</t>
  </si>
  <si>
    <t>N/A</t>
  </si>
  <si>
    <t>MJ</t>
  </si>
  <si>
    <t>Pending</t>
  </si>
  <si>
    <t>Meeting</t>
  </si>
  <si>
    <t>Improve BPC</t>
  </si>
  <si>
    <t>INCOMING COMMUNICATIONS – SUMMARY DASHBOARD</t>
  </si>
  <si>
    <t>STATUS SUMMARY</t>
  </si>
  <si>
    <t>Count</t>
  </si>
  <si>
    <t>% of Total</t>
  </si>
  <si>
    <t>In Progress</t>
  </si>
  <si>
    <t>For Compliance</t>
  </si>
  <si>
    <t>Accomplished</t>
  </si>
  <si>
    <t>Attended</t>
  </si>
  <si>
    <t>Forwarded</t>
  </si>
  <si>
    <t>Cancelled</t>
  </si>
  <si>
    <t>Deferred</t>
  </si>
  <si>
    <t>For Filing</t>
  </si>
  <si>
    <t>TOTAL</t>
  </si>
  <si>
    <t>OVERDUE (Target Date Passed, Not Yet Accomplished)</t>
  </si>
  <si>
    <t>BY ACTIVITY CATEGORY</t>
  </si>
  <si>
    <t>Category</t>
  </si>
  <si>
    <t>Coordination</t>
  </si>
  <si>
    <t>Reporting</t>
  </si>
  <si>
    <t>Planning</t>
  </si>
  <si>
    <t>Monitoring</t>
  </si>
  <si>
    <t>Evaluation</t>
  </si>
  <si>
    <t>Training/Seminar</t>
  </si>
  <si>
    <t>Field Activity</t>
  </si>
  <si>
    <t>Others</t>
  </si>
  <si>
    <t>STAFF / ASSIGNED TO</t>
  </si>
  <si>
    <t>SENDER OFFICES (COMMON)</t>
  </si>
  <si>
    <t>DA Central Office</t>
  </si>
  <si>
    <t>Alnee</t>
  </si>
  <si>
    <t>RDC 5 Secretariat</t>
  </si>
  <si>
    <t>Jing</t>
  </si>
  <si>
    <t>RLUC Secretariat</t>
  </si>
  <si>
    <t>MRC</t>
  </si>
  <si>
    <t>DILG Region 5</t>
  </si>
  <si>
    <t>DEPDev Region 5</t>
  </si>
  <si>
    <t>NEDA Region 5</t>
  </si>
  <si>
    <t>DPWH Region 5</t>
  </si>
  <si>
    <t>DA RFO 5 – OED</t>
  </si>
  <si>
    <t>DA RFO 5 – PMED</t>
  </si>
  <si>
    <t>HOW TO USE THIS LOGBOOK</t>
  </si>
  <si>
    <t>CONTROL NUMBER (Column A)</t>
  </si>
  <si>
    <t>Auto-generated. Format: PPS-YYYY-NNN. Just enter the Date Received and it appears automatically.</t>
  </si>
  <si>
    <t>DATE RECEIVED (Column B)</t>
  </si>
  <si>
    <t>Enter the date the communication was received. Use MM/DD/YYYY format.</t>
  </si>
  <si>
    <t>DATE OF DOCUMENT (Column C)</t>
  </si>
  <si>
    <t>The date printed on the document itself (may differ from date received).</t>
  </si>
  <si>
    <t>DOCUMENT TYPE (Column D)</t>
  </si>
  <si>
    <t>Select from dropdown: Letter, Memorandum, Email, Indorsement, Invitation, Order, Resolution, Report, Others.</t>
  </si>
  <si>
    <t>FROM (Column E)</t>
  </si>
  <si>
    <t>Name of the office or person who sent the communication.</t>
  </si>
  <si>
    <t>SUBJECT / TITLE (Column F)</t>
  </si>
  <si>
    <t>Write the subject line or title of the communication. Be concise but descriptive.</t>
  </si>
  <si>
    <t>REFERENCE NO. (Column G)</t>
  </si>
  <si>
    <t>Official reference/routing number from the sender (e.g., RDC 5 Resolution No. 1-14, s. 2026).</t>
  </si>
  <si>
    <t>ASSIGNED TO (Column H)</t>
  </si>
  <si>
    <t>Select staff member from dropdown. Update Reference Lists sheet to add/remove names.</t>
  </si>
  <si>
    <t>TARGET DATE (Column I)</t>
  </si>
  <si>
    <t>Deadline for action/compliance. Cells turn RED if overdue and not yet accomplished.</t>
  </si>
  <si>
    <t>DATE COMPLETED (Column J)</t>
  </si>
  <si>
    <t>Actual date the action/response was completed.</t>
  </si>
  <si>
    <t>STATUS (Column K)</t>
  </si>
  <si>
    <t>Select from dropdown. Color-coded: RED=Pending/Cancelled, GREEN=Accomplished, YELLOW=In Progress.</t>
  </si>
  <si>
    <t>ACTIVITY CATEGORY (Column L)</t>
  </si>
  <si>
    <t>Select the type of activity from dropdown for easy filtering and reporting.</t>
  </si>
  <si>
    <t>REMARKS (Column M)</t>
  </si>
  <si>
    <t>Free-text field for any additional notes, action taken, or disposition of the communication.</t>
  </si>
  <si>
    <t>TIP: Use Excel AutoFilter (Data tab &gt; Filter) to filter by Status, Assigned To, or Category.</t>
  </si>
  <si>
    <t>TIP: The Summary Dashboard sheet auto-updates counts whenever you update the logbook.</t>
  </si>
  <si>
    <t>TIP: Update the Reference Lists sheet to customize staff names and common sender offices.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</si>
</sst>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m/dd/yyyy"/>
    <numFmt numFmtId="166" formatCode="m/d/yy"/>
    <numFmt numFmtId="167" formatCode="0.0%"/>
  </numFmts>
  <fonts count="13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10.0"/>
      <color rgb="FFFFFFFF"/>
      <name val="Arial"/>
    </font>
    <font>
      <b/>
      <sz val="11.0"/>
      <color rgb="FF1F4E79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1.0"/>
      <color rgb="FFFFFFFF"/>
      <name val="Arial"/>
    </font>
    <font>
      <b/>
      <sz val="10.0"/>
      <color theme="1"/>
      <name val="Arial"/>
    </font>
    <font>
      <b/>
      <sz val="10.0"/>
      <color rgb="FFC00000"/>
      <name val="Arial"/>
    </font>
    <font>
      <b/>
      <sz val="10.0"/>
      <color rgb="FF1F4E79"/>
      <name val="Arial"/>
    </font>
    <font>
      <sz val="10.0"/>
      <color rgb="FF000000"/>
      <name val="Arial"/>
    </font>
    <font>
      <i/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D9E1F2"/>
        <bgColor rgb="FFD9E1F2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4" fillId="2" fontId="5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shrinkToFit="0" vertical="center" wrapText="1"/>
    </xf>
    <xf borderId="4" fillId="0" fontId="6" numFmtId="164" xfId="0" applyAlignment="1" applyBorder="1" applyFont="1" applyNumberFormat="1">
      <alignment readingOrder="0" shrinkToFit="0" vertical="center" wrapText="1"/>
    </xf>
    <xf borderId="4" fillId="0" fontId="6" numFmtId="0" xfId="0" applyAlignment="1" applyBorder="1" applyFont="1">
      <alignment readingOrder="0" shrinkToFit="0" vertical="center" wrapText="1"/>
    </xf>
    <xf borderId="4" fillId="0" fontId="6" numFmtId="165" xfId="0" applyAlignment="1" applyBorder="1" applyFont="1" applyNumberFormat="1">
      <alignment readingOrder="0" shrinkToFit="0" vertical="center" wrapText="1"/>
    </xf>
    <xf borderId="4" fillId="4" fontId="6" numFmtId="0" xfId="0" applyAlignment="1" applyBorder="1" applyFill="1" applyFont="1">
      <alignment shrinkToFit="0" vertical="center" wrapText="1"/>
    </xf>
    <xf borderId="4" fillId="4" fontId="6" numFmtId="166" xfId="0" applyAlignment="1" applyBorder="1" applyFont="1" applyNumberFormat="1">
      <alignment readingOrder="0" shrinkToFit="0" vertical="center" wrapText="1"/>
    </xf>
    <xf borderId="0" fillId="0" fontId="4" numFmtId="0" xfId="0" applyAlignment="1" applyFont="1">
      <alignment shrinkToFit="0" vertical="bottom" wrapText="0"/>
    </xf>
    <xf borderId="4" fillId="3" fontId="7" numFmtId="0" xfId="0" applyAlignment="1" applyBorder="1" applyFont="1">
      <alignment horizontal="center" shrinkToFit="0" vertical="center" wrapText="0"/>
    </xf>
    <xf borderId="4" fillId="0" fontId="6" numFmtId="0" xfId="0" applyAlignment="1" applyBorder="1" applyFont="1">
      <alignment shrinkToFit="0" vertical="bottom" wrapText="0"/>
    </xf>
    <xf borderId="4" fillId="0" fontId="6" numFmtId="0" xfId="0" applyAlignment="1" applyBorder="1" applyFont="1">
      <alignment horizontal="center" shrinkToFit="0" vertical="bottom" wrapText="0"/>
    </xf>
    <xf borderId="4" fillId="0" fontId="6" numFmtId="167" xfId="0" applyAlignment="1" applyBorder="1" applyFont="1" applyNumberFormat="1">
      <alignment horizontal="center" shrinkToFit="0" vertical="bottom" wrapText="0"/>
    </xf>
    <xf borderId="4" fillId="5" fontId="8" numFmtId="0" xfId="0" applyAlignment="1" applyBorder="1" applyFill="1" applyFont="1">
      <alignment shrinkToFit="0" vertical="bottom" wrapText="0"/>
    </xf>
    <xf borderId="4" fillId="5" fontId="8" numFmtId="0" xfId="0" applyAlignment="1" applyBorder="1" applyFont="1">
      <alignment horizontal="center" shrinkToFit="0" vertical="bottom" wrapText="0"/>
    </xf>
    <xf borderId="4" fillId="5" fontId="8" numFmtId="167" xfId="0" applyAlignment="1" applyBorder="1" applyFont="1" applyNumberForma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horizontal="center" shrinkToFit="0" vertical="bottom" wrapText="0"/>
    </xf>
    <xf borderId="5" fillId="2" fontId="7" numFmtId="0" xfId="0" applyAlignment="1" applyBorder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0" fillId="0" fontId="10" numFmtId="0" xfId="0" applyAlignment="1" applyFont="1">
      <alignment shrinkToFit="0" vertical="top" wrapText="1"/>
    </xf>
    <xf borderId="0" fillId="0" fontId="11" numFmtId="0" xfId="0" applyAlignment="1" applyFont="1">
      <alignment shrinkToFit="0" vertical="top" wrapText="1"/>
    </xf>
    <xf borderId="0" fillId="0" fontId="12" numFmtId="0" xfId="0" applyAlignment="1" applyFont="1">
      <alignment shrinkToFit="0" vertical="top" wrapText="1"/>
    </xf>
  </cellXfs>
  <cellStyles count="1">
    <cellStyle xfId="0" name="Normal" builtinId="0"/>
  </cellStyles>
  <dxfs count="4">
    <dxf>
      <font>
        <sz val="10.0"/>
        <color rgb="FFC00000"/>
        <name val="Arial"/>
      </font>
      <fill>
        <patternFill patternType="solid">
          <fgColor rgb="FFFFD7D7"/>
          <bgColor rgb="FFFFD7D7"/>
        </patternFill>
      </fill>
      <border/>
    </dxf>
    <dxf>
      <font>
        <sz val="10.0"/>
        <color rgb="FF375623"/>
        <name val="Arial"/>
      </font>
      <fill>
        <patternFill patternType="solid">
          <fgColor rgb="FFC6EFCE"/>
          <bgColor rgb="FFC6EFCE"/>
        </patternFill>
      </fill>
      <border/>
    </dxf>
    <dxf>
      <font>
        <sz val="10.0"/>
        <color rgb="FF9C5700"/>
        <name val="Arial"/>
      </font>
      <fill>
        <patternFill patternType="solid">
          <fgColor rgb="FFFFEB9C"/>
          <bgColor rgb="FFFFEB9C"/>
        </patternFill>
      </fill>
      <border/>
    </dxf>
    <dxf>
      <font>
        <b/>
        <sz val="10.0"/>
        <color rgb="FFC00000"/>
        <name val="Arial"/>
      </font>
      <fill>
        <patternFill patternType="solid">
          <fgColor rgb="FFFFD7D7"/>
          <bgColor rgb="FFFFD7D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14.0"/>
    <col customWidth="1" min="3" max="3" width="16.0"/>
    <col customWidth="1" min="4" max="4" width="16.71"/>
    <col customWidth="1" min="5" max="5" width="24.0"/>
    <col customWidth="1" min="6" max="6" width="38.0"/>
    <col customWidth="1" min="7" max="7" width="16.0"/>
    <col customWidth="1" min="8" max="8" width="20.0"/>
    <col customWidth="1" min="9" max="9" width="14.0"/>
    <col customWidth="1" min="10" max="10" width="15.0"/>
    <col customWidth="1" min="11" max="11" width="14.0"/>
    <col customWidth="1" min="12" max="12" width="18.0"/>
    <col customWidth="1" min="13" max="13" width="30.0"/>
    <col customWidth="1" hidden="1" min="14" max="14" width="7.0"/>
    <col customWidth="1" min="15" max="2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19.5" customHeight="1">
      <c r="A3" s="5" t="s">
        <v>2</v>
      </c>
    </row>
    <row r="4" ht="36.0" customHeight="1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</row>
    <row r="5" ht="18.0" customHeight="1">
      <c r="A5" s="7" t="str">
        <f t="shared" ref="A5:A204" si="1">IF(B5="","",CONCATENATE("PPS-",TEXT(YEAR(B5),"0000"),"-",TEXT(ROW()-4,"000")))</f>
        <v>PPS-2026-001</v>
      </c>
      <c r="B5" s="8">
        <v>46176.0</v>
      </c>
      <c r="C5" s="7"/>
      <c r="D5" s="9" t="s">
        <v>17</v>
      </c>
      <c r="E5" s="9" t="s">
        <v>18</v>
      </c>
      <c r="F5" s="9" t="s">
        <v>19</v>
      </c>
      <c r="G5" s="9" t="s">
        <v>20</v>
      </c>
      <c r="H5" s="9" t="s">
        <v>21</v>
      </c>
      <c r="I5" s="10">
        <v>46178.0</v>
      </c>
      <c r="J5" s="10"/>
      <c r="K5" s="9" t="s">
        <v>22</v>
      </c>
      <c r="L5" s="9" t="s">
        <v>23</v>
      </c>
      <c r="M5" s="9" t="s">
        <v>24</v>
      </c>
      <c r="N5" s="7">
        <f t="shared" ref="N5:N204" si="2">IF(B5="","",YEAR(B5))</f>
        <v>2026</v>
      </c>
    </row>
    <row r="6" ht="18.0" customHeight="1">
      <c r="A6" s="11" t="str">
        <f t="shared" si="1"/>
        <v>PPS-2026-002</v>
      </c>
      <c r="B6" s="12">
        <v>46177.0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>
        <f t="shared" si="2"/>
        <v>2026</v>
      </c>
    </row>
    <row r="7" ht="18.0" customHeight="1">
      <c r="A7" s="7" t="str">
        <f t="shared" si="1"/>
        <v/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 t="str">
        <f t="shared" si="2"/>
        <v/>
      </c>
    </row>
    <row r="8" ht="18.0" customHeight="1">
      <c r="A8" s="11" t="str">
        <f t="shared" si="1"/>
        <v/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 t="str">
        <f t="shared" si="2"/>
        <v/>
      </c>
    </row>
    <row r="9" ht="18.0" customHeight="1">
      <c r="A9" s="7" t="str">
        <f t="shared" si="1"/>
        <v/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 t="str">
        <f t="shared" si="2"/>
        <v/>
      </c>
    </row>
    <row r="10" ht="18.0" customHeight="1">
      <c r="A10" s="11" t="str">
        <f t="shared" si="1"/>
        <v/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 t="str">
        <f t="shared" si="2"/>
        <v/>
      </c>
    </row>
    <row r="11" ht="18.0" customHeight="1">
      <c r="A11" s="7" t="str">
        <f t="shared" si="1"/>
        <v/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 t="str">
        <f t="shared" si="2"/>
        <v/>
      </c>
    </row>
    <row r="12" ht="18.0" customHeight="1">
      <c r="A12" s="11" t="str">
        <f t="shared" si="1"/>
        <v/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 t="str">
        <f t="shared" si="2"/>
        <v/>
      </c>
    </row>
    <row r="13" ht="18.0" customHeight="1">
      <c r="A13" s="7" t="str">
        <f t="shared" si="1"/>
        <v/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 t="str">
        <f t="shared" si="2"/>
        <v/>
      </c>
    </row>
    <row r="14" ht="18.0" customHeight="1">
      <c r="A14" s="11" t="str">
        <f t="shared" si="1"/>
        <v/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 t="str">
        <f t="shared" si="2"/>
        <v/>
      </c>
    </row>
    <row r="15" ht="18.0" customHeight="1">
      <c r="A15" s="7" t="str">
        <f t="shared" si="1"/>
        <v/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 t="str">
        <f t="shared" si="2"/>
        <v/>
      </c>
    </row>
    <row r="16" ht="18.0" customHeight="1">
      <c r="A16" s="11" t="str">
        <f t="shared" si="1"/>
        <v/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 t="str">
        <f t="shared" si="2"/>
        <v/>
      </c>
    </row>
    <row r="17" ht="18.0" customHeight="1">
      <c r="A17" s="7" t="str">
        <f t="shared" si="1"/>
        <v/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 t="str">
        <f t="shared" si="2"/>
        <v/>
      </c>
    </row>
    <row r="18" ht="18.0" customHeight="1">
      <c r="A18" s="11" t="str">
        <f t="shared" si="1"/>
        <v/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 t="str">
        <f t="shared" si="2"/>
        <v/>
      </c>
    </row>
    <row r="19" ht="18.0" customHeight="1">
      <c r="A19" s="7" t="str">
        <f t="shared" si="1"/>
        <v/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 t="str">
        <f t="shared" si="2"/>
        <v/>
      </c>
    </row>
    <row r="20" ht="18.0" customHeight="1">
      <c r="A20" s="11" t="str">
        <f t="shared" si="1"/>
        <v/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 t="str">
        <f t="shared" si="2"/>
        <v/>
      </c>
    </row>
    <row r="21" ht="18.0" customHeight="1">
      <c r="A21" s="7" t="str">
        <f t="shared" si="1"/>
        <v/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 t="str">
        <f t="shared" si="2"/>
        <v/>
      </c>
    </row>
    <row r="22" ht="18.0" customHeight="1">
      <c r="A22" s="11" t="str">
        <f t="shared" si="1"/>
        <v/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 t="str">
        <f t="shared" si="2"/>
        <v/>
      </c>
    </row>
    <row r="23" ht="18.0" customHeight="1">
      <c r="A23" s="7" t="str">
        <f t="shared" si="1"/>
        <v/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 t="str">
        <f t="shared" si="2"/>
        <v/>
      </c>
    </row>
    <row r="24" ht="18.0" customHeight="1">
      <c r="A24" s="11" t="str">
        <f t="shared" si="1"/>
        <v/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 t="str">
        <f t="shared" si="2"/>
        <v/>
      </c>
    </row>
    <row r="25" ht="18.0" customHeight="1">
      <c r="A25" s="7" t="str">
        <f t="shared" si="1"/>
        <v/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 t="str">
        <f t="shared" si="2"/>
        <v/>
      </c>
    </row>
    <row r="26" ht="18.0" customHeight="1">
      <c r="A26" s="11" t="str">
        <f t="shared" si="1"/>
        <v/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 t="str">
        <f t="shared" si="2"/>
        <v/>
      </c>
    </row>
    <row r="27" ht="18.0" customHeight="1">
      <c r="A27" s="7" t="str">
        <f t="shared" si="1"/>
        <v/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 t="str">
        <f t="shared" si="2"/>
        <v/>
      </c>
    </row>
    <row r="28" ht="18.0" customHeight="1">
      <c r="A28" s="11" t="str">
        <f t="shared" si="1"/>
        <v/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 t="str">
        <f t="shared" si="2"/>
        <v/>
      </c>
    </row>
    <row r="29" ht="18.0" customHeight="1">
      <c r="A29" s="7" t="str">
        <f t="shared" si="1"/>
        <v/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 t="str">
        <f t="shared" si="2"/>
        <v/>
      </c>
    </row>
    <row r="30" ht="18.0" customHeight="1">
      <c r="A30" s="11" t="str">
        <f t="shared" si="1"/>
        <v/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 t="str">
        <f t="shared" si="2"/>
        <v/>
      </c>
    </row>
    <row r="31" ht="18.0" customHeight="1">
      <c r="A31" s="7" t="str">
        <f t="shared" si="1"/>
        <v/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 t="str">
        <f t="shared" si="2"/>
        <v/>
      </c>
    </row>
    <row r="32" ht="18.0" customHeight="1">
      <c r="A32" s="11" t="str">
        <f t="shared" si="1"/>
        <v/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 t="str">
        <f t="shared" si="2"/>
        <v/>
      </c>
    </row>
    <row r="33" ht="18.0" customHeight="1">
      <c r="A33" s="7" t="str">
        <f t="shared" si="1"/>
        <v/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 t="str">
        <f t="shared" si="2"/>
        <v/>
      </c>
    </row>
    <row r="34" ht="18.0" customHeight="1">
      <c r="A34" s="11" t="str">
        <f t="shared" si="1"/>
        <v/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 t="str">
        <f t="shared" si="2"/>
        <v/>
      </c>
    </row>
    <row r="35" ht="18.0" customHeight="1">
      <c r="A35" s="7" t="str">
        <f t="shared" si="1"/>
        <v/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 t="str">
        <f t="shared" si="2"/>
        <v/>
      </c>
    </row>
    <row r="36" ht="18.0" customHeight="1">
      <c r="A36" s="11" t="str">
        <f t="shared" si="1"/>
        <v/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 t="str">
        <f t="shared" si="2"/>
        <v/>
      </c>
    </row>
    <row r="37" ht="18.0" customHeight="1">
      <c r="A37" s="7" t="str">
        <f t="shared" si="1"/>
        <v/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 t="str">
        <f t="shared" si="2"/>
        <v/>
      </c>
    </row>
    <row r="38" ht="18.0" customHeight="1">
      <c r="A38" s="11" t="str">
        <f t="shared" si="1"/>
        <v/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 t="str">
        <f t="shared" si="2"/>
        <v/>
      </c>
    </row>
    <row r="39" ht="18.0" customHeight="1">
      <c r="A39" s="7" t="str">
        <f t="shared" si="1"/>
        <v/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 t="str">
        <f t="shared" si="2"/>
        <v/>
      </c>
    </row>
    <row r="40" ht="18.0" customHeight="1">
      <c r="A40" s="11" t="str">
        <f t="shared" si="1"/>
        <v/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 t="str">
        <f t="shared" si="2"/>
        <v/>
      </c>
    </row>
    <row r="41" ht="18.0" customHeight="1">
      <c r="A41" s="7" t="str">
        <f t="shared" si="1"/>
        <v/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 t="str">
        <f t="shared" si="2"/>
        <v/>
      </c>
    </row>
    <row r="42" ht="18.0" customHeight="1">
      <c r="A42" s="11" t="str">
        <f t="shared" si="1"/>
        <v/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 t="str">
        <f t="shared" si="2"/>
        <v/>
      </c>
    </row>
    <row r="43" ht="18.0" customHeight="1">
      <c r="A43" s="7" t="str">
        <f t="shared" si="1"/>
        <v/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 t="str">
        <f t="shared" si="2"/>
        <v/>
      </c>
    </row>
    <row r="44" ht="18.0" customHeight="1">
      <c r="A44" s="11" t="str">
        <f t="shared" si="1"/>
        <v/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 t="str">
        <f t="shared" si="2"/>
        <v/>
      </c>
    </row>
    <row r="45" ht="18.0" customHeight="1">
      <c r="A45" s="7" t="str">
        <f t="shared" si="1"/>
        <v/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 t="str">
        <f t="shared" si="2"/>
        <v/>
      </c>
    </row>
    <row r="46" ht="18.0" customHeight="1">
      <c r="A46" s="11" t="str">
        <f t="shared" si="1"/>
        <v/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 t="str">
        <f t="shared" si="2"/>
        <v/>
      </c>
    </row>
    <row r="47" ht="18.0" customHeight="1">
      <c r="A47" s="7" t="str">
        <f t="shared" si="1"/>
        <v/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 t="str">
        <f t="shared" si="2"/>
        <v/>
      </c>
    </row>
    <row r="48" ht="18.0" customHeight="1">
      <c r="A48" s="11" t="str">
        <f t="shared" si="1"/>
        <v/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 t="str">
        <f t="shared" si="2"/>
        <v/>
      </c>
    </row>
    <row r="49" ht="18.0" customHeight="1">
      <c r="A49" s="7" t="str">
        <f t="shared" si="1"/>
        <v/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 t="str">
        <f t="shared" si="2"/>
        <v/>
      </c>
    </row>
    <row r="50" ht="18.0" customHeight="1">
      <c r="A50" s="11" t="str">
        <f t="shared" si="1"/>
        <v/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 t="str">
        <f t="shared" si="2"/>
        <v/>
      </c>
    </row>
    <row r="51" ht="18.0" customHeight="1">
      <c r="A51" s="7" t="str">
        <f t="shared" si="1"/>
        <v/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 t="str">
        <f t="shared" si="2"/>
        <v/>
      </c>
    </row>
    <row r="52" ht="18.0" customHeight="1">
      <c r="A52" s="11" t="str">
        <f t="shared" si="1"/>
        <v/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 t="str">
        <f t="shared" si="2"/>
        <v/>
      </c>
    </row>
    <row r="53" ht="18.0" customHeight="1">
      <c r="A53" s="7" t="str">
        <f t="shared" si="1"/>
        <v/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 t="str">
        <f t="shared" si="2"/>
        <v/>
      </c>
    </row>
    <row r="54" ht="18.0" customHeight="1">
      <c r="A54" s="11" t="str">
        <f t="shared" si="1"/>
        <v/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 t="str">
        <f t="shared" si="2"/>
        <v/>
      </c>
    </row>
    <row r="55" ht="18.0" customHeight="1">
      <c r="A55" s="7" t="str">
        <f t="shared" si="1"/>
        <v/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 t="str">
        <f t="shared" si="2"/>
        <v/>
      </c>
    </row>
    <row r="56" ht="18.0" customHeight="1">
      <c r="A56" s="11" t="str">
        <f t="shared" si="1"/>
        <v/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 t="str">
        <f t="shared" si="2"/>
        <v/>
      </c>
    </row>
    <row r="57" ht="18.0" customHeight="1">
      <c r="A57" s="7" t="str">
        <f t="shared" si="1"/>
        <v/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 t="str">
        <f t="shared" si="2"/>
        <v/>
      </c>
    </row>
    <row r="58" ht="18.0" customHeight="1">
      <c r="A58" s="11" t="str">
        <f t="shared" si="1"/>
        <v/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 t="str">
        <f t="shared" si="2"/>
        <v/>
      </c>
    </row>
    <row r="59" ht="18.0" customHeight="1">
      <c r="A59" s="7" t="str">
        <f t="shared" si="1"/>
        <v/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 t="str">
        <f t="shared" si="2"/>
        <v/>
      </c>
    </row>
    <row r="60" ht="18.0" customHeight="1">
      <c r="A60" s="11" t="str">
        <f t="shared" si="1"/>
        <v/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 t="str">
        <f t="shared" si="2"/>
        <v/>
      </c>
    </row>
    <row r="61" ht="18.0" customHeight="1">
      <c r="A61" s="7" t="str">
        <f t="shared" si="1"/>
        <v/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 t="str">
        <f t="shared" si="2"/>
        <v/>
      </c>
    </row>
    <row r="62" ht="18.0" customHeight="1">
      <c r="A62" s="11" t="str">
        <f t="shared" si="1"/>
        <v/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 t="str">
        <f t="shared" si="2"/>
        <v/>
      </c>
    </row>
    <row r="63" ht="18.0" customHeight="1">
      <c r="A63" s="7" t="str">
        <f t="shared" si="1"/>
        <v/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 t="str">
        <f t="shared" si="2"/>
        <v/>
      </c>
    </row>
    <row r="64" ht="18.0" customHeight="1">
      <c r="A64" s="11" t="str">
        <f t="shared" si="1"/>
        <v/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 t="str">
        <f t="shared" si="2"/>
        <v/>
      </c>
    </row>
    <row r="65" ht="18.0" customHeight="1">
      <c r="A65" s="7" t="str">
        <f t="shared" si="1"/>
        <v/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 t="str">
        <f t="shared" si="2"/>
        <v/>
      </c>
    </row>
    <row r="66" ht="18.0" customHeight="1">
      <c r="A66" s="11" t="str">
        <f t="shared" si="1"/>
        <v/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 t="str">
        <f t="shared" si="2"/>
        <v/>
      </c>
    </row>
    <row r="67" ht="18.0" customHeight="1">
      <c r="A67" s="7" t="str">
        <f t="shared" si="1"/>
        <v/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 t="str">
        <f t="shared" si="2"/>
        <v/>
      </c>
    </row>
    <row r="68" ht="18.0" customHeight="1">
      <c r="A68" s="11" t="str">
        <f t="shared" si="1"/>
        <v/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 t="str">
        <f t="shared" si="2"/>
        <v/>
      </c>
    </row>
    <row r="69" ht="18.0" customHeight="1">
      <c r="A69" s="7" t="str">
        <f t="shared" si="1"/>
        <v/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 t="str">
        <f t="shared" si="2"/>
        <v/>
      </c>
    </row>
    <row r="70" ht="18.0" customHeight="1">
      <c r="A70" s="11" t="str">
        <f t="shared" si="1"/>
        <v/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 t="str">
        <f t="shared" si="2"/>
        <v/>
      </c>
    </row>
    <row r="71" ht="18.0" customHeight="1">
      <c r="A71" s="7" t="str">
        <f t="shared" si="1"/>
        <v/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 t="str">
        <f t="shared" si="2"/>
        <v/>
      </c>
    </row>
    <row r="72" ht="18.0" customHeight="1">
      <c r="A72" s="11" t="str">
        <f t="shared" si="1"/>
        <v/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 t="str">
        <f t="shared" si="2"/>
        <v/>
      </c>
    </row>
    <row r="73" ht="18.0" customHeight="1">
      <c r="A73" s="7" t="str">
        <f t="shared" si="1"/>
        <v/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 t="str">
        <f t="shared" si="2"/>
        <v/>
      </c>
    </row>
    <row r="74" ht="18.0" customHeight="1">
      <c r="A74" s="11" t="str">
        <f t="shared" si="1"/>
        <v/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 t="str">
        <f t="shared" si="2"/>
        <v/>
      </c>
    </row>
    <row r="75" ht="18.0" customHeight="1">
      <c r="A75" s="7" t="str">
        <f t="shared" si="1"/>
        <v/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 t="str">
        <f t="shared" si="2"/>
        <v/>
      </c>
    </row>
    <row r="76" ht="18.0" customHeight="1">
      <c r="A76" s="11" t="str">
        <f t="shared" si="1"/>
        <v/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 t="str">
        <f t="shared" si="2"/>
        <v/>
      </c>
    </row>
    <row r="77" ht="18.0" customHeight="1">
      <c r="A77" s="7" t="str">
        <f t="shared" si="1"/>
        <v/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 t="str">
        <f t="shared" si="2"/>
        <v/>
      </c>
    </row>
    <row r="78" ht="18.0" customHeight="1">
      <c r="A78" s="11" t="str">
        <f t="shared" si="1"/>
        <v/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 t="str">
        <f t="shared" si="2"/>
        <v/>
      </c>
    </row>
    <row r="79" ht="18.0" customHeight="1">
      <c r="A79" s="7" t="str">
        <f t="shared" si="1"/>
        <v/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 t="str">
        <f t="shared" si="2"/>
        <v/>
      </c>
    </row>
    <row r="80" ht="18.0" customHeight="1">
      <c r="A80" s="11" t="str">
        <f t="shared" si="1"/>
        <v/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 t="str">
        <f t="shared" si="2"/>
        <v/>
      </c>
    </row>
    <row r="81" ht="18.0" customHeight="1">
      <c r="A81" s="7" t="str">
        <f t="shared" si="1"/>
        <v/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 t="str">
        <f t="shared" si="2"/>
        <v/>
      </c>
    </row>
    <row r="82" ht="18.0" customHeight="1">
      <c r="A82" s="11" t="str">
        <f t="shared" si="1"/>
        <v/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 t="str">
        <f t="shared" si="2"/>
        <v/>
      </c>
    </row>
    <row r="83" ht="18.0" customHeight="1">
      <c r="A83" s="7" t="str">
        <f t="shared" si="1"/>
        <v/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 t="str">
        <f t="shared" si="2"/>
        <v/>
      </c>
    </row>
    <row r="84" ht="18.0" customHeight="1">
      <c r="A84" s="11" t="str">
        <f t="shared" si="1"/>
        <v/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 t="str">
        <f t="shared" si="2"/>
        <v/>
      </c>
    </row>
    <row r="85" ht="18.0" customHeight="1">
      <c r="A85" s="7" t="str">
        <f t="shared" si="1"/>
        <v/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 t="str">
        <f t="shared" si="2"/>
        <v/>
      </c>
    </row>
    <row r="86" ht="18.0" customHeight="1">
      <c r="A86" s="11" t="str">
        <f t="shared" si="1"/>
        <v/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 t="str">
        <f t="shared" si="2"/>
        <v/>
      </c>
    </row>
    <row r="87" ht="18.0" customHeight="1">
      <c r="A87" s="7" t="str">
        <f t="shared" si="1"/>
        <v/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 t="str">
        <f t="shared" si="2"/>
        <v/>
      </c>
    </row>
    <row r="88" ht="18.0" customHeight="1">
      <c r="A88" s="11" t="str">
        <f t="shared" si="1"/>
        <v/>
      </c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 t="str">
        <f t="shared" si="2"/>
        <v/>
      </c>
    </row>
    <row r="89" ht="18.0" customHeight="1">
      <c r="A89" s="7" t="str">
        <f t="shared" si="1"/>
        <v/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 t="str">
        <f t="shared" si="2"/>
        <v/>
      </c>
    </row>
    <row r="90" ht="18.0" customHeight="1">
      <c r="A90" s="11" t="str">
        <f t="shared" si="1"/>
        <v/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 t="str">
        <f t="shared" si="2"/>
        <v/>
      </c>
    </row>
    <row r="91" ht="18.0" customHeight="1">
      <c r="A91" s="7" t="str">
        <f t="shared" si="1"/>
        <v/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 t="str">
        <f t="shared" si="2"/>
        <v/>
      </c>
    </row>
    <row r="92" ht="18.0" customHeight="1">
      <c r="A92" s="11" t="str">
        <f t="shared" si="1"/>
        <v/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 t="str">
        <f t="shared" si="2"/>
        <v/>
      </c>
    </row>
    <row r="93" ht="18.0" customHeight="1">
      <c r="A93" s="7" t="str">
        <f t="shared" si="1"/>
        <v/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 t="str">
        <f t="shared" si="2"/>
        <v/>
      </c>
    </row>
    <row r="94" ht="18.0" customHeight="1">
      <c r="A94" s="11" t="str">
        <f t="shared" si="1"/>
        <v/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 t="str">
        <f t="shared" si="2"/>
        <v/>
      </c>
    </row>
    <row r="95" ht="18.0" customHeight="1">
      <c r="A95" s="7" t="str">
        <f t="shared" si="1"/>
        <v/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 t="str">
        <f t="shared" si="2"/>
        <v/>
      </c>
    </row>
    <row r="96" ht="18.0" customHeight="1">
      <c r="A96" s="11" t="str">
        <f t="shared" si="1"/>
        <v/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 t="str">
        <f t="shared" si="2"/>
        <v/>
      </c>
    </row>
    <row r="97" ht="18.0" customHeight="1">
      <c r="A97" s="7" t="str">
        <f t="shared" si="1"/>
        <v/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 t="str">
        <f t="shared" si="2"/>
        <v/>
      </c>
    </row>
    <row r="98" ht="18.0" customHeight="1">
      <c r="A98" s="11" t="str">
        <f t="shared" si="1"/>
        <v/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 t="str">
        <f t="shared" si="2"/>
        <v/>
      </c>
    </row>
    <row r="99" ht="18.0" customHeight="1">
      <c r="A99" s="7" t="str">
        <f t="shared" si="1"/>
        <v/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 t="str">
        <f t="shared" si="2"/>
        <v/>
      </c>
    </row>
    <row r="100" ht="18.0" customHeight="1">
      <c r="A100" s="11" t="str">
        <f t="shared" si="1"/>
        <v/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 t="str">
        <f t="shared" si="2"/>
        <v/>
      </c>
    </row>
    <row r="101" ht="18.0" customHeight="1">
      <c r="A101" s="7" t="str">
        <f t="shared" si="1"/>
        <v/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 t="str">
        <f t="shared" si="2"/>
        <v/>
      </c>
    </row>
    <row r="102" ht="18.0" customHeight="1">
      <c r="A102" s="11" t="str">
        <f t="shared" si="1"/>
        <v/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 t="str">
        <f t="shared" si="2"/>
        <v/>
      </c>
    </row>
    <row r="103" ht="18.0" customHeight="1">
      <c r="A103" s="7" t="str">
        <f t="shared" si="1"/>
        <v/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 t="str">
        <f t="shared" si="2"/>
        <v/>
      </c>
    </row>
    <row r="104" ht="18.0" customHeight="1">
      <c r="A104" s="11" t="str">
        <f t="shared" si="1"/>
        <v/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 t="str">
        <f t="shared" si="2"/>
        <v/>
      </c>
    </row>
    <row r="105" ht="18.0" customHeight="1">
      <c r="A105" s="7" t="str">
        <f t="shared" si="1"/>
        <v/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 t="str">
        <f t="shared" si="2"/>
        <v/>
      </c>
    </row>
    <row r="106" ht="18.0" customHeight="1">
      <c r="A106" s="11" t="str">
        <f t="shared" si="1"/>
        <v/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 t="str">
        <f t="shared" si="2"/>
        <v/>
      </c>
    </row>
    <row r="107" ht="18.0" customHeight="1">
      <c r="A107" s="7" t="str">
        <f t="shared" si="1"/>
        <v/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 t="str">
        <f t="shared" si="2"/>
        <v/>
      </c>
    </row>
    <row r="108" ht="18.0" customHeight="1">
      <c r="A108" s="11" t="str">
        <f t="shared" si="1"/>
        <v/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 t="str">
        <f t="shared" si="2"/>
        <v/>
      </c>
    </row>
    <row r="109" ht="18.0" customHeight="1">
      <c r="A109" s="7" t="str">
        <f t="shared" si="1"/>
        <v/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 t="str">
        <f t="shared" si="2"/>
        <v/>
      </c>
    </row>
    <row r="110" ht="18.0" customHeight="1">
      <c r="A110" s="11" t="str">
        <f t="shared" si="1"/>
        <v/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 t="str">
        <f t="shared" si="2"/>
        <v/>
      </c>
    </row>
    <row r="111" ht="18.0" customHeight="1">
      <c r="A111" s="7" t="str">
        <f t="shared" si="1"/>
        <v/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 t="str">
        <f t="shared" si="2"/>
        <v/>
      </c>
    </row>
    <row r="112" ht="18.0" customHeight="1">
      <c r="A112" s="11" t="str">
        <f t="shared" si="1"/>
        <v/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 t="str">
        <f t="shared" si="2"/>
        <v/>
      </c>
    </row>
    <row r="113" ht="18.0" customHeight="1">
      <c r="A113" s="7" t="str">
        <f t="shared" si="1"/>
        <v/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 t="str">
        <f t="shared" si="2"/>
        <v/>
      </c>
    </row>
    <row r="114" ht="18.0" customHeight="1">
      <c r="A114" s="11" t="str">
        <f t="shared" si="1"/>
        <v/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 t="str">
        <f t="shared" si="2"/>
        <v/>
      </c>
    </row>
    <row r="115" ht="18.0" customHeight="1">
      <c r="A115" s="7" t="str">
        <f t="shared" si="1"/>
        <v/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 t="str">
        <f t="shared" si="2"/>
        <v/>
      </c>
    </row>
    <row r="116" ht="18.0" customHeight="1">
      <c r="A116" s="11" t="str">
        <f t="shared" si="1"/>
        <v/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 t="str">
        <f t="shared" si="2"/>
        <v/>
      </c>
    </row>
    <row r="117" ht="18.0" customHeight="1">
      <c r="A117" s="7" t="str">
        <f t="shared" si="1"/>
        <v/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 t="str">
        <f t="shared" si="2"/>
        <v/>
      </c>
    </row>
    <row r="118" ht="18.0" customHeight="1">
      <c r="A118" s="11" t="str">
        <f t="shared" si="1"/>
        <v/>
      </c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 t="str">
        <f t="shared" si="2"/>
        <v/>
      </c>
    </row>
    <row r="119" ht="18.0" customHeight="1">
      <c r="A119" s="7" t="str">
        <f t="shared" si="1"/>
        <v/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 t="str">
        <f t="shared" si="2"/>
        <v/>
      </c>
    </row>
    <row r="120" ht="18.0" customHeight="1">
      <c r="A120" s="11" t="str">
        <f t="shared" si="1"/>
        <v/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 t="str">
        <f t="shared" si="2"/>
        <v/>
      </c>
    </row>
    <row r="121" ht="18.0" customHeight="1">
      <c r="A121" s="7" t="str">
        <f t="shared" si="1"/>
        <v/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 t="str">
        <f t="shared" si="2"/>
        <v/>
      </c>
    </row>
    <row r="122" ht="18.0" customHeight="1">
      <c r="A122" s="11" t="str">
        <f t="shared" si="1"/>
        <v/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 t="str">
        <f t="shared" si="2"/>
        <v/>
      </c>
    </row>
    <row r="123" ht="18.0" customHeight="1">
      <c r="A123" s="7" t="str">
        <f t="shared" si="1"/>
        <v/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 t="str">
        <f t="shared" si="2"/>
        <v/>
      </c>
    </row>
    <row r="124" ht="18.0" customHeight="1">
      <c r="A124" s="11" t="str">
        <f t="shared" si="1"/>
        <v/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 t="str">
        <f t="shared" si="2"/>
        <v/>
      </c>
    </row>
    <row r="125" ht="18.0" customHeight="1">
      <c r="A125" s="7" t="str">
        <f t="shared" si="1"/>
        <v/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 t="str">
        <f t="shared" si="2"/>
        <v/>
      </c>
    </row>
    <row r="126" ht="18.0" customHeight="1">
      <c r="A126" s="11" t="str">
        <f t="shared" si="1"/>
        <v/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 t="str">
        <f t="shared" si="2"/>
        <v/>
      </c>
    </row>
    <row r="127" ht="18.0" customHeight="1">
      <c r="A127" s="7" t="str">
        <f t="shared" si="1"/>
        <v/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 t="str">
        <f t="shared" si="2"/>
        <v/>
      </c>
    </row>
    <row r="128" ht="18.0" customHeight="1">
      <c r="A128" s="11" t="str">
        <f t="shared" si="1"/>
        <v/>
      </c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 t="str">
        <f t="shared" si="2"/>
        <v/>
      </c>
    </row>
    <row r="129" ht="18.0" customHeight="1">
      <c r="A129" s="7" t="str">
        <f t="shared" si="1"/>
        <v/>
      </c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 t="str">
        <f t="shared" si="2"/>
        <v/>
      </c>
    </row>
    <row r="130" ht="18.0" customHeight="1">
      <c r="A130" s="11" t="str">
        <f t="shared" si="1"/>
        <v/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 t="str">
        <f t="shared" si="2"/>
        <v/>
      </c>
    </row>
    <row r="131" ht="18.0" customHeight="1">
      <c r="A131" s="7" t="str">
        <f t="shared" si="1"/>
        <v/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 t="str">
        <f t="shared" si="2"/>
        <v/>
      </c>
    </row>
    <row r="132" ht="18.0" customHeight="1">
      <c r="A132" s="11" t="str">
        <f t="shared" si="1"/>
        <v/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 t="str">
        <f t="shared" si="2"/>
        <v/>
      </c>
    </row>
    <row r="133" ht="18.0" customHeight="1">
      <c r="A133" s="7" t="str">
        <f t="shared" si="1"/>
        <v/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 t="str">
        <f t="shared" si="2"/>
        <v/>
      </c>
    </row>
    <row r="134" ht="18.0" customHeight="1">
      <c r="A134" s="11" t="str">
        <f t="shared" si="1"/>
        <v/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 t="str">
        <f t="shared" si="2"/>
        <v/>
      </c>
    </row>
    <row r="135" ht="18.0" customHeight="1">
      <c r="A135" s="7" t="str">
        <f t="shared" si="1"/>
        <v/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 t="str">
        <f t="shared" si="2"/>
        <v/>
      </c>
    </row>
    <row r="136" ht="18.0" customHeight="1">
      <c r="A136" s="11" t="str">
        <f t="shared" si="1"/>
        <v/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 t="str">
        <f t="shared" si="2"/>
        <v/>
      </c>
    </row>
    <row r="137" ht="18.0" customHeight="1">
      <c r="A137" s="7" t="str">
        <f t="shared" si="1"/>
        <v/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 t="str">
        <f t="shared" si="2"/>
        <v/>
      </c>
    </row>
    <row r="138" ht="18.0" customHeight="1">
      <c r="A138" s="11" t="str">
        <f t="shared" si="1"/>
        <v/>
      </c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 t="str">
        <f t="shared" si="2"/>
        <v/>
      </c>
    </row>
    <row r="139" ht="18.0" customHeight="1">
      <c r="A139" s="7" t="str">
        <f t="shared" si="1"/>
        <v/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 t="str">
        <f t="shared" si="2"/>
        <v/>
      </c>
    </row>
    <row r="140" ht="18.0" customHeight="1">
      <c r="A140" s="11" t="str">
        <f t="shared" si="1"/>
        <v/>
      </c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 t="str">
        <f t="shared" si="2"/>
        <v/>
      </c>
    </row>
    <row r="141" ht="18.0" customHeight="1">
      <c r="A141" s="7" t="str">
        <f t="shared" si="1"/>
        <v/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 t="str">
        <f t="shared" si="2"/>
        <v/>
      </c>
    </row>
    <row r="142" ht="18.0" customHeight="1">
      <c r="A142" s="11" t="str">
        <f t="shared" si="1"/>
        <v/>
      </c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 t="str">
        <f t="shared" si="2"/>
        <v/>
      </c>
    </row>
    <row r="143" ht="18.0" customHeight="1">
      <c r="A143" s="7" t="str">
        <f t="shared" si="1"/>
        <v/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 t="str">
        <f t="shared" si="2"/>
        <v/>
      </c>
    </row>
    <row r="144" ht="18.0" customHeight="1">
      <c r="A144" s="11" t="str">
        <f t="shared" si="1"/>
        <v/>
      </c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 t="str">
        <f t="shared" si="2"/>
        <v/>
      </c>
    </row>
    <row r="145" ht="18.0" customHeight="1">
      <c r="A145" s="7" t="str">
        <f t="shared" si="1"/>
        <v/>
      </c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 t="str">
        <f t="shared" si="2"/>
        <v/>
      </c>
    </row>
    <row r="146" ht="18.0" customHeight="1">
      <c r="A146" s="11" t="str">
        <f t="shared" si="1"/>
        <v/>
      </c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 t="str">
        <f t="shared" si="2"/>
        <v/>
      </c>
    </row>
    <row r="147" ht="18.0" customHeight="1">
      <c r="A147" s="7" t="str">
        <f t="shared" si="1"/>
        <v/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 t="str">
        <f t="shared" si="2"/>
        <v/>
      </c>
    </row>
    <row r="148" ht="18.0" customHeight="1">
      <c r="A148" s="11" t="str">
        <f t="shared" si="1"/>
        <v/>
      </c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 t="str">
        <f t="shared" si="2"/>
        <v/>
      </c>
    </row>
    <row r="149" ht="18.0" customHeight="1">
      <c r="A149" s="7" t="str">
        <f t="shared" si="1"/>
        <v/>
      </c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 t="str">
        <f t="shared" si="2"/>
        <v/>
      </c>
    </row>
    <row r="150" ht="18.0" customHeight="1">
      <c r="A150" s="11" t="str">
        <f t="shared" si="1"/>
        <v/>
      </c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 t="str">
        <f t="shared" si="2"/>
        <v/>
      </c>
    </row>
    <row r="151" ht="18.0" customHeight="1">
      <c r="A151" s="7" t="str">
        <f t="shared" si="1"/>
        <v/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 t="str">
        <f t="shared" si="2"/>
        <v/>
      </c>
    </row>
    <row r="152" ht="18.0" customHeight="1">
      <c r="A152" s="11" t="str">
        <f t="shared" si="1"/>
        <v/>
      </c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 t="str">
        <f t="shared" si="2"/>
        <v/>
      </c>
    </row>
    <row r="153" ht="18.0" customHeight="1">
      <c r="A153" s="7" t="str">
        <f t="shared" si="1"/>
        <v/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 t="str">
        <f t="shared" si="2"/>
        <v/>
      </c>
    </row>
    <row r="154" ht="18.0" customHeight="1">
      <c r="A154" s="11" t="str">
        <f t="shared" si="1"/>
        <v/>
      </c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 t="str">
        <f t="shared" si="2"/>
        <v/>
      </c>
    </row>
    <row r="155" ht="18.0" customHeight="1">
      <c r="A155" s="7" t="str">
        <f t="shared" si="1"/>
        <v/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 t="str">
        <f t="shared" si="2"/>
        <v/>
      </c>
    </row>
    <row r="156" ht="18.0" customHeight="1">
      <c r="A156" s="11" t="str">
        <f t="shared" si="1"/>
        <v/>
      </c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 t="str">
        <f t="shared" si="2"/>
        <v/>
      </c>
    </row>
    <row r="157" ht="18.0" customHeight="1">
      <c r="A157" s="7" t="str">
        <f t="shared" si="1"/>
        <v/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 t="str">
        <f t="shared" si="2"/>
        <v/>
      </c>
    </row>
    <row r="158" ht="18.0" customHeight="1">
      <c r="A158" s="11" t="str">
        <f t="shared" si="1"/>
        <v/>
      </c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 t="str">
        <f t="shared" si="2"/>
        <v/>
      </c>
    </row>
    <row r="159" ht="18.0" customHeight="1">
      <c r="A159" s="7" t="str">
        <f t="shared" si="1"/>
        <v/>
      </c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 t="str">
        <f t="shared" si="2"/>
        <v/>
      </c>
    </row>
    <row r="160" ht="18.0" customHeight="1">
      <c r="A160" s="11" t="str">
        <f t="shared" si="1"/>
        <v/>
      </c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 t="str">
        <f t="shared" si="2"/>
        <v/>
      </c>
    </row>
    <row r="161" ht="18.0" customHeight="1">
      <c r="A161" s="7" t="str">
        <f t="shared" si="1"/>
        <v/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 t="str">
        <f t="shared" si="2"/>
        <v/>
      </c>
    </row>
    <row r="162" ht="18.0" customHeight="1">
      <c r="A162" s="11" t="str">
        <f t="shared" si="1"/>
        <v/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 t="str">
        <f t="shared" si="2"/>
        <v/>
      </c>
    </row>
    <row r="163" ht="18.0" customHeight="1">
      <c r="A163" s="7" t="str">
        <f t="shared" si="1"/>
        <v/>
      </c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 t="str">
        <f t="shared" si="2"/>
        <v/>
      </c>
    </row>
    <row r="164" ht="18.0" customHeight="1">
      <c r="A164" s="11" t="str">
        <f t="shared" si="1"/>
        <v/>
      </c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 t="str">
        <f t="shared" si="2"/>
        <v/>
      </c>
    </row>
    <row r="165" ht="18.0" customHeight="1">
      <c r="A165" s="7" t="str">
        <f t="shared" si="1"/>
        <v/>
      </c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 t="str">
        <f t="shared" si="2"/>
        <v/>
      </c>
    </row>
    <row r="166" ht="18.0" customHeight="1">
      <c r="A166" s="11" t="str">
        <f t="shared" si="1"/>
        <v/>
      </c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 t="str">
        <f t="shared" si="2"/>
        <v/>
      </c>
    </row>
    <row r="167" ht="18.0" customHeight="1">
      <c r="A167" s="7" t="str">
        <f t="shared" si="1"/>
        <v/>
      </c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 t="str">
        <f t="shared" si="2"/>
        <v/>
      </c>
    </row>
    <row r="168" ht="18.0" customHeight="1">
      <c r="A168" s="11" t="str">
        <f t="shared" si="1"/>
        <v/>
      </c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 t="str">
        <f t="shared" si="2"/>
        <v/>
      </c>
    </row>
    <row r="169" ht="18.0" customHeight="1">
      <c r="A169" s="7" t="str">
        <f t="shared" si="1"/>
        <v/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 t="str">
        <f t="shared" si="2"/>
        <v/>
      </c>
    </row>
    <row r="170" ht="18.0" customHeight="1">
      <c r="A170" s="11" t="str">
        <f t="shared" si="1"/>
        <v/>
      </c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 t="str">
        <f t="shared" si="2"/>
        <v/>
      </c>
    </row>
    <row r="171" ht="18.0" customHeight="1">
      <c r="A171" s="7" t="str">
        <f t="shared" si="1"/>
        <v/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 t="str">
        <f t="shared" si="2"/>
        <v/>
      </c>
    </row>
    <row r="172" ht="18.0" customHeight="1">
      <c r="A172" s="11" t="str">
        <f t="shared" si="1"/>
        <v/>
      </c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 t="str">
        <f t="shared" si="2"/>
        <v/>
      </c>
    </row>
    <row r="173" ht="18.0" customHeight="1">
      <c r="A173" s="7" t="str">
        <f t="shared" si="1"/>
        <v/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 t="str">
        <f t="shared" si="2"/>
        <v/>
      </c>
    </row>
    <row r="174" ht="18.0" customHeight="1">
      <c r="A174" s="11" t="str">
        <f t="shared" si="1"/>
        <v/>
      </c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 t="str">
        <f t="shared" si="2"/>
        <v/>
      </c>
    </row>
    <row r="175" ht="18.0" customHeight="1">
      <c r="A175" s="7" t="str">
        <f t="shared" si="1"/>
        <v/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 t="str">
        <f t="shared" si="2"/>
        <v/>
      </c>
    </row>
    <row r="176" ht="18.0" customHeight="1">
      <c r="A176" s="11" t="str">
        <f t="shared" si="1"/>
        <v/>
      </c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 t="str">
        <f t="shared" si="2"/>
        <v/>
      </c>
    </row>
    <row r="177" ht="18.0" customHeight="1">
      <c r="A177" s="7" t="str">
        <f t="shared" si="1"/>
        <v/>
      </c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 t="str">
        <f t="shared" si="2"/>
        <v/>
      </c>
    </row>
    <row r="178" ht="18.0" customHeight="1">
      <c r="A178" s="11" t="str">
        <f t="shared" si="1"/>
        <v/>
      </c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 t="str">
        <f t="shared" si="2"/>
        <v/>
      </c>
    </row>
    <row r="179" ht="18.0" customHeight="1">
      <c r="A179" s="7" t="str">
        <f t="shared" si="1"/>
        <v/>
      </c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 t="str">
        <f t="shared" si="2"/>
        <v/>
      </c>
    </row>
    <row r="180" ht="18.0" customHeight="1">
      <c r="A180" s="11" t="str">
        <f t="shared" si="1"/>
        <v/>
      </c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 t="str">
        <f t="shared" si="2"/>
        <v/>
      </c>
    </row>
    <row r="181" ht="18.0" customHeight="1">
      <c r="A181" s="7" t="str">
        <f t="shared" si="1"/>
        <v/>
      </c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 t="str">
        <f t="shared" si="2"/>
        <v/>
      </c>
    </row>
    <row r="182" ht="18.0" customHeight="1">
      <c r="A182" s="11" t="str">
        <f t="shared" si="1"/>
        <v/>
      </c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 t="str">
        <f t="shared" si="2"/>
        <v/>
      </c>
    </row>
    <row r="183" ht="18.0" customHeight="1">
      <c r="A183" s="7" t="str">
        <f t="shared" si="1"/>
        <v/>
      </c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 t="str">
        <f t="shared" si="2"/>
        <v/>
      </c>
    </row>
    <row r="184" ht="18.0" customHeight="1">
      <c r="A184" s="11" t="str">
        <f t="shared" si="1"/>
        <v/>
      </c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 t="str">
        <f t="shared" si="2"/>
        <v/>
      </c>
    </row>
    <row r="185" ht="18.0" customHeight="1">
      <c r="A185" s="7" t="str">
        <f t="shared" si="1"/>
        <v/>
      </c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 t="str">
        <f t="shared" si="2"/>
        <v/>
      </c>
    </row>
    <row r="186" ht="18.0" customHeight="1">
      <c r="A186" s="11" t="str">
        <f t="shared" si="1"/>
        <v/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 t="str">
        <f t="shared" si="2"/>
        <v/>
      </c>
    </row>
    <row r="187" ht="18.0" customHeight="1">
      <c r="A187" s="7" t="str">
        <f t="shared" si="1"/>
        <v/>
      </c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 t="str">
        <f t="shared" si="2"/>
        <v/>
      </c>
    </row>
    <row r="188" ht="18.0" customHeight="1">
      <c r="A188" s="11" t="str">
        <f t="shared" si="1"/>
        <v/>
      </c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 t="str">
        <f t="shared" si="2"/>
        <v/>
      </c>
    </row>
    <row r="189" ht="18.0" customHeight="1">
      <c r="A189" s="7" t="str">
        <f t="shared" si="1"/>
        <v/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 t="str">
        <f t="shared" si="2"/>
        <v/>
      </c>
    </row>
    <row r="190" ht="18.0" customHeight="1">
      <c r="A190" s="11" t="str">
        <f t="shared" si="1"/>
        <v/>
      </c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 t="str">
        <f t="shared" si="2"/>
        <v/>
      </c>
    </row>
    <row r="191" ht="18.0" customHeight="1">
      <c r="A191" s="7" t="str">
        <f t="shared" si="1"/>
        <v/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 t="str">
        <f t="shared" si="2"/>
        <v/>
      </c>
    </row>
    <row r="192" ht="18.0" customHeight="1">
      <c r="A192" s="11" t="str">
        <f t="shared" si="1"/>
        <v/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 t="str">
        <f t="shared" si="2"/>
        <v/>
      </c>
    </row>
    <row r="193" ht="18.0" customHeight="1">
      <c r="A193" s="7" t="str">
        <f t="shared" si="1"/>
        <v/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 t="str">
        <f t="shared" si="2"/>
        <v/>
      </c>
    </row>
    <row r="194" ht="18.0" customHeight="1">
      <c r="A194" s="11" t="str">
        <f t="shared" si="1"/>
        <v/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 t="str">
        <f t="shared" si="2"/>
        <v/>
      </c>
    </row>
    <row r="195" ht="18.0" customHeight="1">
      <c r="A195" s="7" t="str">
        <f t="shared" si="1"/>
        <v/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 t="str">
        <f t="shared" si="2"/>
        <v/>
      </c>
    </row>
    <row r="196" ht="18.0" customHeight="1">
      <c r="A196" s="11" t="str">
        <f t="shared" si="1"/>
        <v/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 t="str">
        <f t="shared" si="2"/>
        <v/>
      </c>
    </row>
    <row r="197" ht="18.0" customHeight="1">
      <c r="A197" s="7" t="str">
        <f t="shared" si="1"/>
        <v/>
      </c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 t="str">
        <f t="shared" si="2"/>
        <v/>
      </c>
    </row>
    <row r="198" ht="18.0" customHeight="1">
      <c r="A198" s="11" t="str">
        <f t="shared" si="1"/>
        <v/>
      </c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 t="str">
        <f t="shared" si="2"/>
        <v/>
      </c>
    </row>
    <row r="199" ht="18.0" customHeight="1">
      <c r="A199" s="7" t="str">
        <f t="shared" si="1"/>
        <v/>
      </c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 t="str">
        <f t="shared" si="2"/>
        <v/>
      </c>
    </row>
    <row r="200" ht="18.0" customHeight="1">
      <c r="A200" s="11" t="str">
        <f t="shared" si="1"/>
        <v/>
      </c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 t="str">
        <f t="shared" si="2"/>
        <v/>
      </c>
    </row>
    <row r="201" ht="18.0" customHeight="1">
      <c r="A201" s="7" t="str">
        <f t="shared" si="1"/>
        <v/>
      </c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 t="str">
        <f t="shared" si="2"/>
        <v/>
      </c>
    </row>
    <row r="202" ht="18.0" customHeight="1">
      <c r="A202" s="11" t="str">
        <f t="shared" si="1"/>
        <v/>
      </c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 t="str">
        <f t="shared" si="2"/>
        <v/>
      </c>
    </row>
    <row r="203" ht="18.0" customHeight="1">
      <c r="A203" s="7" t="str">
        <f t="shared" si="1"/>
        <v/>
      </c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 t="str">
        <f t="shared" si="2"/>
        <v/>
      </c>
    </row>
    <row r="204" ht="18.0" customHeight="1">
      <c r="A204" s="11" t="str">
        <f t="shared" si="1"/>
        <v/>
      </c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 t="str">
        <f t="shared" si="2"/>
        <v/>
      </c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N1"/>
    <mergeCell ref="A2:N2"/>
    <mergeCell ref="A3:N3"/>
  </mergeCells>
  <conditionalFormatting sqref="K5:K204">
    <cfRule type="expression" dxfId="0" priority="1">
      <formula>OR(K5="Pending",K5="Cancelled",K5="Deferred")</formula>
    </cfRule>
  </conditionalFormatting>
  <conditionalFormatting sqref="K5:K204">
    <cfRule type="expression" dxfId="1" priority="2">
      <formula>OR(K5="Accomplished",K5="Attended",K5="For Filing")</formula>
    </cfRule>
  </conditionalFormatting>
  <conditionalFormatting sqref="K5:K204">
    <cfRule type="expression" dxfId="2" priority="3">
      <formula>OR(K5="In Progress",K5="For Compliance",K5="Forwarded")</formula>
    </cfRule>
  </conditionalFormatting>
  <conditionalFormatting sqref="I5:I204 J5">
    <cfRule type="expression" dxfId="3" priority="4">
      <formula>AND(I5&lt;TODAY(),I5&lt;&gt;"",NOT(OR(K5="Accomplished",K5="Attended",K5="For Filing",K5="Cancelled")))</formula>
    </cfRule>
  </conditionalFormatting>
  <dataValidations>
    <dataValidation type="list" allowBlank="1" showInputMessage="1" showErrorMessage="1" prompt="Invalid Entry - Please select from the list." sqref="D5:D204">
      <formula1>"Letter,Memorandum,Email,Indorsement,Invitation,Order,Resolution,Report,Others"</formula1>
    </dataValidation>
    <dataValidation type="list" allowBlank="1" sqref="K5:K204">
      <formula1>"Pending,In Progress,For Compliance,Accomplished,Attended,Forwarded,Cancelled,Deferred,For Filing"</formula1>
    </dataValidation>
    <dataValidation type="list" allowBlank="1" sqref="H5:H204">
      <formula1>'Reference Lists'!$A$2:$A$6</formula1>
    </dataValidation>
    <dataValidation type="list" allowBlank="1" sqref="L5:L204">
      <formula1>"Coordination,Reporting,Planning,Monitoring,Evaluation,Training/Seminar,Meeting,Field Activity,Others"</formula1>
    </dataValidation>
    <dataValidation type="date" allowBlank="1" sqref="B5:C204 I5:J204">
      <formula1>0.0</formula1>
      <formula2>0.0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5623"/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0.0"/>
    <col customWidth="1" min="3" max="4" width="12.0"/>
    <col customWidth="1" min="5" max="26" width="8.71"/>
  </cols>
  <sheetData>
    <row r="1" ht="25.5" customHeight="1">
      <c r="A1" s="1" t="s">
        <v>25</v>
      </c>
      <c r="B1" s="2"/>
      <c r="C1" s="2"/>
      <c r="D1" s="2"/>
      <c r="E1" s="2"/>
      <c r="F1" s="2"/>
      <c r="G1" s="2"/>
      <c r="H1" s="3"/>
    </row>
    <row r="3">
      <c r="A3" s="13" t="s">
        <v>26</v>
      </c>
    </row>
    <row r="4">
      <c r="A4" s="14" t="s">
        <v>13</v>
      </c>
      <c r="B4" s="14" t="s">
        <v>27</v>
      </c>
      <c r="C4" s="14" t="s">
        <v>28</v>
      </c>
    </row>
    <row r="5">
      <c r="A5" s="15" t="s">
        <v>22</v>
      </c>
      <c r="B5" s="16">
        <f>COUNTIF('Incoming Communications'!K5:K204,A5)</f>
        <v>1</v>
      </c>
      <c r="C5" s="17">
        <f t="shared" ref="C5:C13" si="1">IFERROR(B5/SUM($B$5:$B$13),0)</f>
        <v>1</v>
      </c>
    </row>
    <row r="6">
      <c r="A6" s="15" t="s">
        <v>29</v>
      </c>
      <c r="B6" s="16">
        <f>COUNTIF('Incoming Communications'!K5:K204,A6)</f>
        <v>0</v>
      </c>
      <c r="C6" s="17">
        <f t="shared" si="1"/>
        <v>0</v>
      </c>
    </row>
    <row r="7">
      <c r="A7" s="15" t="s">
        <v>30</v>
      </c>
      <c r="B7" s="16">
        <f>COUNTIF('Incoming Communications'!K5:K204,A7)</f>
        <v>0</v>
      </c>
      <c r="C7" s="17">
        <f t="shared" si="1"/>
        <v>0</v>
      </c>
    </row>
    <row r="8">
      <c r="A8" s="15" t="s">
        <v>31</v>
      </c>
      <c r="B8" s="16">
        <f>COUNTIF('Incoming Communications'!K5:K204,A8)</f>
        <v>0</v>
      </c>
      <c r="C8" s="17">
        <f t="shared" si="1"/>
        <v>0</v>
      </c>
    </row>
    <row r="9">
      <c r="A9" s="15" t="s">
        <v>32</v>
      </c>
      <c r="B9" s="16">
        <f>COUNTIF('Incoming Communications'!K5:K204,A9)</f>
        <v>0</v>
      </c>
      <c r="C9" s="17">
        <f t="shared" si="1"/>
        <v>0</v>
      </c>
    </row>
    <row r="10">
      <c r="A10" s="15" t="s">
        <v>33</v>
      </c>
      <c r="B10" s="16">
        <f>COUNTIF('Incoming Communications'!K5:K204,A10)</f>
        <v>0</v>
      </c>
      <c r="C10" s="17">
        <f t="shared" si="1"/>
        <v>0</v>
      </c>
    </row>
    <row r="11">
      <c r="A11" s="15" t="s">
        <v>34</v>
      </c>
      <c r="B11" s="16">
        <f>COUNTIF('Incoming Communications'!K5:K204,A11)</f>
        <v>0</v>
      </c>
      <c r="C11" s="17">
        <f t="shared" si="1"/>
        <v>0</v>
      </c>
    </row>
    <row r="12">
      <c r="A12" s="15" t="s">
        <v>35</v>
      </c>
      <c r="B12" s="16">
        <f>COUNTIF('Incoming Communications'!K5:K204,A12)</f>
        <v>0</v>
      </c>
      <c r="C12" s="17">
        <f t="shared" si="1"/>
        <v>0</v>
      </c>
    </row>
    <row r="13">
      <c r="A13" s="15" t="s">
        <v>36</v>
      </c>
      <c r="B13" s="16">
        <f>COUNTIF('Incoming Communications'!K5:K204,A13)</f>
        <v>0</v>
      </c>
      <c r="C13" s="17">
        <f t="shared" si="1"/>
        <v>0</v>
      </c>
    </row>
    <row r="14">
      <c r="A14" s="18" t="s">
        <v>37</v>
      </c>
      <c r="B14" s="19">
        <f>SUM(B5:B13)</f>
        <v>1</v>
      </c>
      <c r="C14" s="20">
        <f>IFERROR(1,0)</f>
        <v>1</v>
      </c>
    </row>
    <row r="16">
      <c r="A16" s="21" t="s">
        <v>38</v>
      </c>
      <c r="B16" s="22">
        <f>SUMPRODUCT((('Incoming Communications'!I5:I204)&lt;TODAY())*('Incoming Communications'!I5:I204&lt;&gt;"")*(NOT(('Incoming Communications'!K5:K204="Accomplished")+('Incoming Communications'!K5:K204="Attended")+('Incoming Communications'!K5:K204="For Filing")+('Incoming Communications'!K5:K204="Cancelled"))))</f>
        <v>1</v>
      </c>
    </row>
    <row r="18">
      <c r="A18" s="13" t="s">
        <v>39</v>
      </c>
    </row>
    <row r="19">
      <c r="A19" s="14" t="s">
        <v>40</v>
      </c>
      <c r="B19" s="14" t="s">
        <v>27</v>
      </c>
    </row>
    <row r="20">
      <c r="A20" s="15" t="s">
        <v>41</v>
      </c>
      <c r="B20" s="16">
        <f>COUNTIF('Incoming Communications'!L5:L204,A20)</f>
        <v>0</v>
      </c>
    </row>
    <row r="21" ht="15.75" customHeight="1">
      <c r="A21" s="15" t="s">
        <v>42</v>
      </c>
      <c r="B21" s="16">
        <f>COUNTIF('Incoming Communications'!L5:L204,A21)</f>
        <v>0</v>
      </c>
    </row>
    <row r="22" ht="15.75" customHeight="1">
      <c r="A22" s="15" t="s">
        <v>43</v>
      </c>
      <c r="B22" s="16">
        <f>COUNTIF('Incoming Communications'!L5:L204,A22)</f>
        <v>0</v>
      </c>
    </row>
    <row r="23" ht="15.75" customHeight="1">
      <c r="A23" s="15" t="s">
        <v>44</v>
      </c>
      <c r="B23" s="16">
        <f>COUNTIF('Incoming Communications'!L5:L204,A23)</f>
        <v>0</v>
      </c>
    </row>
    <row r="24" ht="15.75" customHeight="1">
      <c r="A24" s="15" t="s">
        <v>45</v>
      </c>
      <c r="B24" s="16">
        <f>COUNTIF('Incoming Communications'!L5:L204,A24)</f>
        <v>0</v>
      </c>
    </row>
    <row r="25" ht="15.75" customHeight="1">
      <c r="A25" s="15" t="s">
        <v>46</v>
      </c>
      <c r="B25" s="16">
        <f>COUNTIF('Incoming Communications'!L5:L204,A25)</f>
        <v>0</v>
      </c>
    </row>
    <row r="26" ht="15.75" customHeight="1">
      <c r="A26" s="15" t="s">
        <v>23</v>
      </c>
      <c r="B26" s="16">
        <f>COUNTIF('Incoming Communications'!L5:L204,A26)</f>
        <v>1</v>
      </c>
    </row>
    <row r="27" ht="15.75" customHeight="1">
      <c r="A27" s="15" t="s">
        <v>47</v>
      </c>
      <c r="B27" s="16">
        <f>COUNTIF('Incoming Communications'!L5:L204,A27)</f>
        <v>0</v>
      </c>
    </row>
    <row r="28" ht="15.75" customHeight="1">
      <c r="A28" s="15" t="s">
        <v>48</v>
      </c>
      <c r="B28" s="16">
        <f>COUNTIF('Incoming Communications'!L5:L204,A28)</f>
        <v>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3C00"/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8.71"/>
    <col customWidth="1" min="3" max="3" width="30.0"/>
    <col customWidth="1" min="4" max="26" width="8.71"/>
  </cols>
  <sheetData>
    <row r="1">
      <c r="A1" s="23" t="s">
        <v>49</v>
      </c>
      <c r="C1" s="23" t="s">
        <v>50</v>
      </c>
    </row>
    <row r="2">
      <c r="A2" s="24" t="s">
        <v>21</v>
      </c>
      <c r="C2" s="25" t="s">
        <v>51</v>
      </c>
    </row>
    <row r="3">
      <c r="A3" s="24" t="s">
        <v>52</v>
      </c>
      <c r="C3" s="25" t="s">
        <v>53</v>
      </c>
    </row>
    <row r="4">
      <c r="A4" s="24" t="s">
        <v>54</v>
      </c>
      <c r="C4" s="25" t="s">
        <v>55</v>
      </c>
    </row>
    <row r="5">
      <c r="A5" s="24" t="s">
        <v>56</v>
      </c>
      <c r="C5" s="25" t="s">
        <v>57</v>
      </c>
    </row>
    <row r="6">
      <c r="A6" s="24" t="s">
        <v>21</v>
      </c>
      <c r="C6" s="25" t="s">
        <v>58</v>
      </c>
    </row>
    <row r="7">
      <c r="C7" s="25" t="s">
        <v>59</v>
      </c>
    </row>
    <row r="8">
      <c r="C8" s="25" t="s">
        <v>60</v>
      </c>
    </row>
    <row r="9">
      <c r="C9" s="25" t="s">
        <v>61</v>
      </c>
    </row>
    <row r="10">
      <c r="C10" s="25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70.0"/>
    <col customWidth="1" min="3" max="26" width="8.71"/>
  </cols>
  <sheetData>
    <row r="1" ht="24.0" customHeight="1">
      <c r="A1" s="26" t="s">
        <v>63</v>
      </c>
      <c r="B1" s="2"/>
      <c r="C1" s="3"/>
    </row>
    <row r="3" ht="21.75" customHeight="1">
      <c r="A3" s="27" t="s">
        <v>64</v>
      </c>
      <c r="B3" s="28" t="s">
        <v>65</v>
      </c>
    </row>
    <row r="4" ht="21.75" customHeight="1">
      <c r="A4" s="27" t="s">
        <v>66</v>
      </c>
      <c r="B4" s="28" t="s">
        <v>67</v>
      </c>
    </row>
    <row r="5" ht="21.75" customHeight="1">
      <c r="A5" s="27" t="s">
        <v>68</v>
      </c>
      <c r="B5" s="28" t="s">
        <v>69</v>
      </c>
    </row>
    <row r="6" ht="21.75" customHeight="1">
      <c r="A6" s="27" t="s">
        <v>70</v>
      </c>
      <c r="B6" s="28" t="s">
        <v>71</v>
      </c>
    </row>
    <row r="7" ht="21.75" customHeight="1">
      <c r="A7" s="27" t="s">
        <v>72</v>
      </c>
      <c r="B7" s="28" t="s">
        <v>73</v>
      </c>
    </row>
    <row r="8" ht="21.75" customHeight="1">
      <c r="A8" s="27" t="s">
        <v>74</v>
      </c>
      <c r="B8" s="28" t="s">
        <v>75</v>
      </c>
    </row>
    <row r="9" ht="21.75" customHeight="1">
      <c r="A9" s="27" t="s">
        <v>76</v>
      </c>
      <c r="B9" s="28" t="s">
        <v>77</v>
      </c>
    </row>
    <row r="10" ht="21.75" customHeight="1">
      <c r="A10" s="27" t="s">
        <v>78</v>
      </c>
      <c r="B10" s="28" t="s">
        <v>79</v>
      </c>
    </row>
    <row r="11" ht="21.75" customHeight="1">
      <c r="A11" s="27" t="s">
        <v>80</v>
      </c>
      <c r="B11" s="28" t="s">
        <v>81</v>
      </c>
    </row>
    <row r="12" ht="21.75" customHeight="1">
      <c r="A12" s="27" t="s">
        <v>82</v>
      </c>
      <c r="B12" s="28" t="s">
        <v>83</v>
      </c>
    </row>
    <row r="13" ht="21.75" customHeight="1">
      <c r="A13" s="27" t="s">
        <v>84</v>
      </c>
      <c r="B13" s="28" t="s">
        <v>85</v>
      </c>
    </row>
    <row r="14" ht="21.75" customHeight="1">
      <c r="A14" s="27" t="s">
        <v>86</v>
      </c>
      <c r="B14" s="28" t="s">
        <v>87</v>
      </c>
    </row>
    <row r="15" ht="21.75" customHeight="1">
      <c r="A15" s="27" t="s">
        <v>88</v>
      </c>
      <c r="B15" s="28" t="s">
        <v>89</v>
      </c>
    </row>
    <row r="16" ht="21.75" customHeight="1"/>
    <row r="17" ht="21.75" customHeight="1">
      <c r="A17" s="29" t="s">
        <v>90</v>
      </c>
    </row>
    <row r="18" ht="21.75" customHeight="1">
      <c r="A18" s="29" t="s">
        <v>91</v>
      </c>
    </row>
    <row r="19" ht="21.75" customHeight="1">
      <c r="A19" s="29" t="s">
        <v>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paperSize="9" orientation="portrait"/>
  <drawing r:id="rId1"/>
</worksheet>
</file>